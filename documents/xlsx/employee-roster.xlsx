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Teams" sheetId="2" state="visible" r:id="rId2"/>
  </sheets>
  <definedNames>
    <definedName name="_xlnm._FilterDatabase" localSheetId="0" hidden="1">'Roster'!$A$1:$I$13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6F4F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B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6" customWidth="1" min="4" max="4"/>
    <col width="14" customWidth="1" min="5" max="5"/>
    <col width="12" customWidth="1" min="6" max="6"/>
    <col width="12" customWidth="1" min="7" max="7"/>
    <col width="7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Started</t>
        </is>
      </c>
      <c r="G1" s="1" t="inlineStr">
        <is>
          <t>Salary</t>
        </is>
      </c>
      <c r="H1" s="1" t="inlineStr">
        <is>
          <t>FTE</t>
        </is>
      </c>
      <c r="I1" s="1" t="inlineStr">
        <is>
          <t>Active</t>
        </is>
      </c>
    </row>
    <row r="2">
      <c r="A2" s="2" t="n">
        <v>1001</v>
      </c>
      <c r="B2" s="2" t="inlineStr">
        <is>
          <t>Dana Whitfield</t>
        </is>
      </c>
      <c r="C2" s="2" t="inlineStr">
        <is>
          <t>Platform</t>
        </is>
      </c>
      <c r="D2" s="2" t="inlineStr">
        <is>
          <t>Director of Platform</t>
        </is>
      </c>
      <c r="E2" s="2" t="inlineStr">
        <is>
          <t>Ashvale</t>
        </is>
      </c>
      <c r="F2" s="3" t="n">
        <v>43556</v>
      </c>
      <c r="G2" s="4" t="n">
        <v>128000</v>
      </c>
      <c r="H2" s="5" t="n">
        <v>1</v>
      </c>
      <c r="I2" s="6" t="b">
        <v>1</v>
      </c>
    </row>
    <row r="3">
      <c r="A3" s="2" t="n">
        <v>1002</v>
      </c>
      <c r="B3" s="2" t="inlineStr">
        <is>
          <t>Marcus Oyelaran</t>
        </is>
      </c>
      <c r="C3" s="2" t="inlineStr">
        <is>
          <t>Platform</t>
        </is>
      </c>
      <c r="D3" s="2" t="inlineStr">
        <is>
          <t>Senior Backend Engineer</t>
        </is>
      </c>
      <c r="E3" s="2" t="inlineStr">
        <is>
          <t>Ashvale</t>
        </is>
      </c>
      <c r="F3" s="3" t="n">
        <v>44088</v>
      </c>
      <c r="G3" s="4" t="n">
        <v>104500</v>
      </c>
      <c r="H3" s="5" t="n">
        <v>1</v>
      </c>
      <c r="I3" s="6" t="b">
        <v>1</v>
      </c>
    </row>
    <row r="4">
      <c r="A4" s="2" t="n">
        <v>1003</v>
      </c>
      <c r="B4" s="2" t="inlineStr">
        <is>
          <t>Priya Ramanathan</t>
        </is>
      </c>
      <c r="C4" s="2" t="inlineStr">
        <is>
          <t>Mobile</t>
        </is>
      </c>
      <c r="D4" s="2" t="inlineStr">
        <is>
          <t>Mobile Lead</t>
        </is>
      </c>
      <c r="E4" s="2" t="inlineStr">
        <is>
          <t>Marrowfield</t>
        </is>
      </c>
      <c r="F4" s="3" t="n">
        <v>44207</v>
      </c>
      <c r="G4" s="4" t="n">
        <v>99800</v>
      </c>
      <c r="H4" s="5" t="n">
        <v>1</v>
      </c>
      <c r="I4" s="6" t="b">
        <v>1</v>
      </c>
    </row>
    <row r="5">
      <c r="A5" s="2" t="n">
        <v>1004</v>
      </c>
      <c r="B5" s="2" t="inlineStr">
        <is>
          <t>Tomas Beck</t>
        </is>
      </c>
      <c r="C5" s="2" t="inlineStr">
        <is>
          <t>Infrastructure</t>
        </is>
      </c>
      <c r="D5" s="2" t="inlineStr">
        <is>
          <t>Infrastructure Engineer</t>
        </is>
      </c>
      <c r="E5" s="2" t="inlineStr">
        <is>
          <t>Ashvale</t>
        </is>
      </c>
      <c r="F5" s="3" t="n">
        <v>44718</v>
      </c>
      <c r="G5" s="4" t="n">
        <v>92300</v>
      </c>
      <c r="H5" s="5" t="n">
        <v>1</v>
      </c>
      <c r="I5" s="6" t="b">
        <v>1</v>
      </c>
    </row>
    <row r="6">
      <c r="A6" s="2" t="n">
        <v>1005</v>
      </c>
      <c r="B6" s="2" t="inlineStr">
        <is>
          <t>Ines Alcazar</t>
        </is>
      </c>
      <c r="C6" s="2" t="inlineStr">
        <is>
          <t>Design</t>
        </is>
      </c>
      <c r="D6" s="2" t="inlineStr">
        <is>
          <t>Product Designer</t>
        </is>
      </c>
      <c r="E6" s="2" t="inlineStr">
        <is>
          <t>Quillon Park</t>
        </is>
      </c>
      <c r="F6" s="3" t="n">
        <v>44977</v>
      </c>
      <c r="G6" s="4" t="n">
        <v>86400</v>
      </c>
      <c r="H6" s="5" t="n">
        <v>0.8</v>
      </c>
      <c r="I6" s="6" t="b">
        <v>1</v>
      </c>
    </row>
    <row r="7">
      <c r="A7" s="2" t="n">
        <v>1006</v>
      </c>
      <c r="B7" s="2" t="inlineStr">
        <is>
          <t>Ruth Adeyemi</t>
        </is>
      </c>
      <c r="C7" s="2" t="inlineStr">
        <is>
          <t>Platform</t>
        </is>
      </c>
      <c r="D7" s="2" t="inlineStr">
        <is>
          <t>Backend Engineer</t>
        </is>
      </c>
      <c r="E7" s="2" t="inlineStr">
        <is>
          <t>Marrowfield</t>
        </is>
      </c>
      <c r="F7" s="3" t="n">
        <v>45145</v>
      </c>
      <c r="G7" s="4" t="n">
        <v>81250</v>
      </c>
      <c r="H7" s="5" t="n">
        <v>1</v>
      </c>
      <c r="I7" s="6" t="b">
        <v>1</v>
      </c>
    </row>
    <row r="8">
      <c r="A8" s="2" t="n">
        <v>1007</v>
      </c>
      <c r="B8" s="2" t="inlineStr">
        <is>
          <t>Kai Lindqvist</t>
        </is>
      </c>
      <c r="C8" s="2" t="inlineStr">
        <is>
          <t>Mobile</t>
        </is>
      </c>
      <c r="D8" s="2" t="inlineStr">
        <is>
          <t>Mobile Engineer</t>
        </is>
      </c>
      <c r="E8" s="2" t="inlineStr">
        <is>
          <t>Ashvale</t>
        </is>
      </c>
      <c r="F8" s="3" t="n">
        <v>45355</v>
      </c>
      <c r="G8" s="4" t="n">
        <v>78900</v>
      </c>
      <c r="H8" s="5" t="n">
        <v>1</v>
      </c>
      <c r="I8" s="6" t="b">
        <v>1</v>
      </c>
    </row>
    <row r="9">
      <c r="A9" s="2" t="n">
        <v>1008</v>
      </c>
      <c r="B9" s="2" t="inlineStr">
        <is>
          <t>Noor Haddad</t>
        </is>
      </c>
      <c r="C9" s="2" t="inlineStr">
        <is>
          <t>Support</t>
        </is>
      </c>
      <c r="D9" s="2" t="inlineStr">
        <is>
          <t>Support Engineer</t>
        </is>
      </c>
      <c r="E9" s="2" t="inlineStr">
        <is>
          <t>Quillon Park</t>
        </is>
      </c>
      <c r="F9" s="3" t="n">
        <v>45439</v>
      </c>
      <c r="G9" s="4" t="n">
        <v>64200</v>
      </c>
      <c r="H9" s="5" t="n">
        <v>1</v>
      </c>
      <c r="I9" s="6" t="b">
        <v>1</v>
      </c>
    </row>
    <row r="10">
      <c r="A10" s="2" t="n">
        <v>1009</v>
      </c>
      <c r="B10" s="2" t="inlineStr">
        <is>
          <t>Elias Fenwick</t>
        </is>
      </c>
      <c r="C10" s="2" t="inlineStr">
        <is>
          <t>Infrastructure</t>
        </is>
      </c>
      <c r="D10" s="2" t="inlineStr">
        <is>
          <t>SRE</t>
        </is>
      </c>
      <c r="E10" s="2" t="inlineStr">
        <is>
          <t>Ashvale</t>
        </is>
      </c>
      <c r="F10" s="3" t="n">
        <v>45614</v>
      </c>
      <c r="G10" s="4" t="n">
        <v>95600</v>
      </c>
      <c r="H10" s="5" t="n">
        <v>1</v>
      </c>
      <c r="I10" s="6" t="b">
        <v>1</v>
      </c>
    </row>
    <row r="11">
      <c r="A11" s="2" t="n">
        <v>1010</v>
      </c>
      <c r="B11" s="2" t="inlineStr">
        <is>
          <t>Yuki Amano</t>
        </is>
      </c>
      <c r="C11" s="2" t="inlineStr">
        <is>
          <t>Design</t>
        </is>
      </c>
      <c r="D11" s="2" t="inlineStr">
        <is>
          <t>Design Systems</t>
        </is>
      </c>
      <c r="E11" s="2" t="inlineStr">
        <is>
          <t>Marrowfield</t>
        </is>
      </c>
      <c r="F11" s="3" t="n">
        <v>45670</v>
      </c>
      <c r="G11" s="4" t="n">
        <v>88100</v>
      </c>
      <c r="H11" s="5" t="n">
        <v>0.6</v>
      </c>
      <c r="I11" s="6" t="b">
        <v>1</v>
      </c>
    </row>
    <row r="12">
      <c r="A12" s="2" t="n">
        <v>1011</v>
      </c>
      <c r="B12" s="2" t="inlineStr">
        <is>
          <t>Bram de Vries</t>
        </is>
      </c>
      <c r="C12" s="2" t="inlineStr">
        <is>
          <t>Support</t>
        </is>
      </c>
      <c r="D12" s="2" t="inlineStr">
        <is>
          <t>Support Lead</t>
        </is>
      </c>
      <c r="E12" s="2" t="inlineStr">
        <is>
          <t>Ashvale</t>
        </is>
      </c>
      <c r="F12" s="3" t="n">
        <v>45769</v>
      </c>
      <c r="G12" s="4" t="n">
        <v>71500</v>
      </c>
      <c r="H12" s="5" t="n">
        <v>1</v>
      </c>
      <c r="I12" s="6" t="b">
        <v>1</v>
      </c>
    </row>
    <row r="13">
      <c r="A13" s="2" t="n">
        <v>1012</v>
      </c>
      <c r="B13" s="2" t="inlineStr">
        <is>
          <t>Sara Okonkwo</t>
        </is>
      </c>
      <c r="C13" s="2" t="inlineStr">
        <is>
          <t>Platform</t>
        </is>
      </c>
      <c r="D13" s="2" t="inlineStr">
        <is>
          <t>Graduate Engineer</t>
        </is>
      </c>
      <c r="E13" s="2" t="inlineStr">
        <is>
          <t>Quillon Park</t>
        </is>
      </c>
      <c r="F13" s="3" t="n">
        <v>46055</v>
      </c>
      <c r="G13" s="4" t="n">
        <v>58000</v>
      </c>
      <c r="H13" s="5" t="n">
        <v>1</v>
      </c>
      <c r="I13" s="6" t="b">
        <v>0</v>
      </c>
    </row>
    <row r="15">
      <c r="B15" s="7" t="inlineStr">
        <is>
          <t>Headcount</t>
        </is>
      </c>
      <c r="C15">
        <f>COUNTA(B2:B13)</f>
        <v/>
      </c>
    </row>
    <row r="16">
      <c r="B16" s="7" t="inlineStr">
        <is>
          <t>Active FTE</t>
        </is>
      </c>
      <c r="C16">
        <f>SUMIF(I2:I13,TRUE,H2:H13)</f>
        <v/>
      </c>
    </row>
    <row r="18">
      <c r="B18" t="inlineStr">
        <is>
          <t>Fictional sample data. Every person, salary, and location is invented.</t>
        </is>
      </c>
    </row>
  </sheetData>
  <autoFilter ref="A1:I13"/>
  <conditionalFormatting sqref="G2:G13">
    <cfRule type="colorScale" priority="1">
      <colorScale>
        <cfvo type="min"/>
        <cfvo type="max"/>
        <color rgb="00FFFFFF"/>
        <color rgb="009FD3B8"/>
      </colorScale>
    </cfRule>
  </conditionalFormatting>
  <conditionalFormatting sqref="I2:I13">
    <cfRule type="cellIs" priority="2" operator="equal" dxfId="0">
      <formula>FALSE</formula>
    </cfRule>
  </conditionalFormatting>
  <dataValidations count="1">
    <dataValidation sqref="C2:C13" showDropDown="0" showInputMessage="0" showErrorMessage="0" allowBlank="0" promptTitle="Team" prompt="Pick a team from the list" type="list">
      <formula1>"Platform,Mobile,Infrastructure,Design,Support"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</cols>
  <sheetData>
    <row r="1" ht="22" customHeight="1">
      <c r="A1" s="1" t="inlineStr">
        <is>
          <t>Team</t>
        </is>
      </c>
      <c r="B1" s="1" t="inlineStr">
        <is>
          <t>People</t>
        </is>
      </c>
      <c r="C1" s="1" t="inlineStr">
        <is>
          <t>Total FTE</t>
        </is>
      </c>
    </row>
    <row r="2">
      <c r="A2" s="2" t="inlineStr">
        <is>
          <t>Platform</t>
        </is>
      </c>
      <c r="B2" s="2">
        <f>COUNTIF(Roster!C:C,A2)</f>
        <v/>
      </c>
      <c r="C2" s="2">
        <f>SUMIF(Roster!C:C,A2,Roster!H:H)</f>
        <v/>
      </c>
    </row>
    <row r="3">
      <c r="A3" s="2" t="inlineStr">
        <is>
          <t>Mobile</t>
        </is>
      </c>
      <c r="B3" s="2">
        <f>COUNTIF(Roster!C:C,A3)</f>
        <v/>
      </c>
      <c r="C3" s="2">
        <f>SUMIF(Roster!C:C,A3,Roster!H:H)</f>
        <v/>
      </c>
    </row>
    <row r="4">
      <c r="A4" s="2" t="inlineStr">
        <is>
          <t>Infrastructure</t>
        </is>
      </c>
      <c r="B4" s="2">
        <f>COUNTIF(Roster!C:C,A4)</f>
        <v/>
      </c>
      <c r="C4" s="2">
        <f>SUMIF(Roster!C:C,A4,Roster!H:H)</f>
        <v/>
      </c>
    </row>
    <row r="5">
      <c r="A5" s="2" t="inlineStr">
        <is>
          <t>Design</t>
        </is>
      </c>
      <c r="B5" s="2">
        <f>COUNTIF(Roster!C:C,A5)</f>
        <v/>
      </c>
      <c r="C5" s="2">
        <f>SUMIF(Roster!C:C,A5,Roster!H:H)</f>
        <v/>
      </c>
    </row>
    <row r="6">
      <c r="A6" s="2" t="inlineStr">
        <is>
          <t>Support</t>
        </is>
      </c>
      <c r="B6" s="2">
        <f>COUNTIF(Roster!C:C,A6)</f>
        <v/>
      </c>
      <c r="C6" s="2">
        <f>SUMIF(Roster!C:C,A6,Roster!H:H)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sample-assets</dc:creator>
  <dc:title xmlns:dc="http://purl.org/dc/elements/1.1/">Employee roster</dc:title>
  <dc:description xmlns:dc="http://purl.org/dc/elements/1.1/">Fictional sample workbook from the sample-assets repository.</dc:description>
  <dc:subject xmlns:dc="http://purl.org/dc/elements/1.1/">Sample roster with a filter, a frozen header, and validation</dc:subject>
  <dcterms:created xmlns:dcterms="http://purl.org/dc/terms/" xmlns:xsi="http://www.w3.org/2001/XMLSchema-instance" xsi:type="dcterms:W3CDTF">2026-08-30T07:56:59Z</dcterms:created>
  <dcterms:modified xmlns:dcterms="http://purl.org/dc/terms/" xmlns:xsi="http://www.w3.org/2001/XMLSchema-instance" xsi:type="dcterms:W3CDTF">2026-08-30T07:56:59Z</dcterms:modified>
</cp:coreProperties>
</file>