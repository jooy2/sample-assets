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Movements" sheetId="2" state="visible" r:id="rId2"/>
    <sheet xmlns:r="http://schemas.openxmlformats.org/officeDocument/2006/relationships" name="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6F4F"/>
      </patternFill>
    </fill>
  </fills>
  <borders count="2">
    <border>
      <left/>
      <right/>
      <top/>
      <bottom/>
      <diagonal/>
    </border>
    <border>
      <left style="thin">
        <color rgb="00D9DDE3"/>
      </left>
      <right style="thin">
        <color rgb="00D9DDE3"/>
      </right>
      <top style="thin">
        <color rgb="00D9DDE3"/>
      </top>
      <bottom style="thin">
        <color rgb="00D9DDE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B42828"/>
      </font>
      <fill>
        <patternFill patternType="solid">
          <fgColor rgb="00FBE3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Stock on hand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'Inventory'!D1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'Inventory'!$B$2:$B$13</f>
            </numRef>
          </cat>
          <val>
            <numRef>
              <f>'Inventory'!$D$2:$D$13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Stock movements, first half of 2026</a:t>
            </a:r>
          </a:p>
        </rich>
      </tx>
    </title>
    <plotArea>
      <lineChart>
        <grouping val="standard"/>
        <ser>
          <idx val="0"/>
          <order val="0"/>
          <tx>
            <strRef>
              <f>'Movements'!B1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'Movements'!$A$2:$A$7</f>
            </numRef>
          </cat>
          <val>
            <numRef>
              <f>'Movements'!$B$2:$B$7</f>
            </numRef>
          </val>
        </ser>
        <ser>
          <idx val="1"/>
          <order val="1"/>
          <tx>
            <strRef>
              <f>'Movements'!C1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'Movements'!$A$2:$A$7</f>
            </numRef>
          </cat>
          <val>
            <numRef>
              <f>'Movements'!$C$2:$C$7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Stock value by category</a:t>
            </a:r>
          </a:p>
        </rich>
      </tx>
    </title>
    <plotArea>
      <pieChart>
        <varyColors val="1"/>
        <ser>
          <idx val="0"/>
          <order val="0"/>
          <tx>
            <strRef>
              <f>'Categories'!B1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'Categories'!$A$2:$A$5</f>
            </numRef>
          </cat>
          <val>
            <numRef>
              <f>'Categories'!$B$2:$B$5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11" customWidth="1" min="4" max="4"/>
    <col width="12" customWidth="1" min="5" max="5"/>
    <col width="12" customWidth="1" min="6" max="6"/>
  </cols>
  <sheetData>
    <row r="1" ht="22" customHeight="1">
      <c r="A1" s="1" t="inlineStr">
        <is>
          <t>SKU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In stock</t>
        </is>
      </c>
      <c r="E1" s="1" t="inlineStr">
        <is>
          <t>Reorder at</t>
        </is>
      </c>
      <c r="F1" s="1" t="inlineStr">
        <is>
          <t>Unit cost</t>
        </is>
      </c>
    </row>
    <row r="2">
      <c r="A2" s="2" t="inlineStr">
        <is>
          <t>KP-1001</t>
        </is>
      </c>
      <c r="B2" s="2" t="inlineStr">
        <is>
          <t>Copper kettle, 1.5 L</t>
        </is>
      </c>
      <c r="C2" s="2" t="inlineStr">
        <is>
          <t>Kitchen</t>
        </is>
      </c>
      <c r="D2" s="2" t="n">
        <v>142</v>
      </c>
      <c r="E2" s="2" t="n">
        <v>60</v>
      </c>
      <c r="F2" s="3" t="n">
        <v>24.5</v>
      </c>
    </row>
    <row r="3">
      <c r="A3" s="2" t="inlineStr">
        <is>
          <t>KP-1002</t>
        </is>
      </c>
      <c r="B3" s="2" t="inlineStr">
        <is>
          <t>Enamel mug</t>
        </is>
      </c>
      <c r="C3" s="2" t="inlineStr">
        <is>
          <t>Kitchen</t>
        </is>
      </c>
      <c r="D3" s="2" t="n">
        <v>38</v>
      </c>
      <c r="E3" s="2" t="n">
        <v>80</v>
      </c>
      <c r="F3" s="3" t="n">
        <v>6.2</v>
      </c>
    </row>
    <row r="4">
      <c r="A4" s="2" t="inlineStr">
        <is>
          <t>KP-1003</t>
        </is>
      </c>
      <c r="B4" s="2" t="inlineStr">
        <is>
          <t>Cast pan, 24 cm</t>
        </is>
      </c>
      <c r="C4" s="2" t="inlineStr">
        <is>
          <t>Kitchen</t>
        </is>
      </c>
      <c r="D4" s="2" t="n">
        <v>76</v>
      </c>
      <c r="E4" s="2" t="n">
        <v>40</v>
      </c>
      <c r="F4" s="3" t="n">
        <v>41</v>
      </c>
    </row>
    <row r="5">
      <c r="A5" s="2" t="inlineStr">
        <is>
          <t>GD-2001</t>
        </is>
      </c>
      <c r="B5" s="2" t="inlineStr">
        <is>
          <t>Trowel, forged</t>
        </is>
      </c>
      <c r="C5" s="2" t="inlineStr">
        <is>
          <t>Garden</t>
        </is>
      </c>
      <c r="D5" s="2" t="n">
        <v>91</v>
      </c>
      <c r="E5" s="2" t="n">
        <v>50</v>
      </c>
      <c r="F5" s="3" t="n">
        <v>12.75</v>
      </c>
    </row>
    <row r="6">
      <c r="A6" s="2" t="inlineStr">
        <is>
          <t>GD-2002</t>
        </is>
      </c>
      <c r="B6" s="2" t="inlineStr">
        <is>
          <t>Watering can, 5 L</t>
        </is>
      </c>
      <c r="C6" s="2" t="inlineStr">
        <is>
          <t>Garden</t>
        </is>
      </c>
      <c r="D6" s="2" t="n">
        <v>22</v>
      </c>
      <c r="E6" s="2" t="n">
        <v>45</v>
      </c>
      <c r="F6" s="3" t="n">
        <v>18.4</v>
      </c>
    </row>
    <row r="7">
      <c r="A7" s="2" t="inlineStr">
        <is>
          <t>GD-2003</t>
        </is>
      </c>
      <c r="B7" s="2" t="inlineStr">
        <is>
          <t>Seed tray, pack of 10</t>
        </is>
      </c>
      <c r="C7" s="2" t="inlineStr">
        <is>
          <t>Garden</t>
        </is>
      </c>
      <c r="D7" s="2" t="n">
        <v>310</v>
      </c>
      <c r="E7" s="2" t="n">
        <v>120</v>
      </c>
      <c r="F7" s="3" t="n">
        <v>5.1</v>
      </c>
    </row>
    <row r="8">
      <c r="A8" s="2" t="inlineStr">
        <is>
          <t>WK-3001</t>
        </is>
      </c>
      <c r="B8" s="2" t="inlineStr">
        <is>
          <t>Notebook, A5</t>
        </is>
      </c>
      <c r="C8" s="2" t="inlineStr">
        <is>
          <t>Workshop</t>
        </is>
      </c>
      <c r="D8" s="2" t="n">
        <v>205</v>
      </c>
      <c r="E8" s="2" t="n">
        <v>100</v>
      </c>
      <c r="F8" s="3" t="n">
        <v>4.8</v>
      </c>
    </row>
    <row r="9">
      <c r="A9" s="2" t="inlineStr">
        <is>
          <t>WK-3002</t>
        </is>
      </c>
      <c r="B9" s="2" t="inlineStr">
        <is>
          <t>Pencil set</t>
        </is>
      </c>
      <c r="C9" s="2" t="inlineStr">
        <is>
          <t>Workshop</t>
        </is>
      </c>
      <c r="D9" s="2" t="n">
        <v>64</v>
      </c>
      <c r="E9" s="2" t="n">
        <v>90</v>
      </c>
      <c r="F9" s="3" t="n">
        <v>9.300000000000001</v>
      </c>
    </row>
    <row r="10">
      <c r="A10" s="2" t="inlineStr">
        <is>
          <t>WK-3003</t>
        </is>
      </c>
      <c r="B10" s="2" t="inlineStr">
        <is>
          <t>Storage crate</t>
        </is>
      </c>
      <c r="C10" s="2" t="inlineStr">
        <is>
          <t>Workshop</t>
        </is>
      </c>
      <c r="D10" s="2" t="n">
        <v>47</v>
      </c>
      <c r="E10" s="2" t="n">
        <v>30</v>
      </c>
      <c r="F10" s="3" t="n">
        <v>22</v>
      </c>
    </row>
    <row r="11">
      <c r="A11" s="2" t="inlineStr">
        <is>
          <t>OU-4001</t>
        </is>
      </c>
      <c r="B11" s="2" t="inlineStr">
        <is>
          <t>Rain jacket</t>
        </is>
      </c>
      <c r="C11" s="2" t="inlineStr">
        <is>
          <t>Outdoor</t>
        </is>
      </c>
      <c r="D11" s="2" t="n">
        <v>15</v>
      </c>
      <c r="E11" s="2" t="n">
        <v>25</v>
      </c>
      <c r="F11" s="3" t="n">
        <v>68</v>
      </c>
    </row>
    <row r="12">
      <c r="A12" s="2" t="inlineStr">
        <is>
          <t>OU-4002</t>
        </is>
      </c>
      <c r="B12" s="2" t="inlineStr">
        <is>
          <t>Trekking pole, pair</t>
        </is>
      </c>
      <c r="C12" s="2" t="inlineStr">
        <is>
          <t>Outdoor</t>
        </is>
      </c>
      <c r="D12" s="2" t="n">
        <v>58</v>
      </c>
      <c r="E12" s="2" t="n">
        <v>30</v>
      </c>
      <c r="F12" s="3" t="n">
        <v>44.9</v>
      </c>
    </row>
    <row r="13">
      <c r="A13" s="2" t="inlineStr">
        <is>
          <t>OU-4003</t>
        </is>
      </c>
      <c r="B13" s="2" t="inlineStr">
        <is>
          <t>Head torch</t>
        </is>
      </c>
      <c r="C13" s="2" t="inlineStr">
        <is>
          <t>Outdoor</t>
        </is>
      </c>
      <c r="D13" s="2" t="n">
        <v>130</v>
      </c>
      <c r="E13" s="2" t="n">
        <v>60</v>
      </c>
      <c r="F13" s="3" t="n">
        <v>27.6</v>
      </c>
    </row>
  </sheetData>
  <conditionalFormatting sqref="D2:D13">
    <cfRule type="cellIs" priority="1" operator="lessThan" dxfId="0">
      <formula>E2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 ht="22" customHeight="1">
      <c r="A1" s="1" t="inlineStr">
        <is>
          <t>Month</t>
        </is>
      </c>
      <c r="B1" s="1" t="inlineStr">
        <is>
          <t>Received</t>
        </is>
      </c>
      <c r="C1" s="1" t="inlineStr">
        <is>
          <t>Shipped</t>
        </is>
      </c>
    </row>
    <row r="2">
      <c r="A2" s="2" t="inlineStr">
        <is>
          <t>Jan</t>
        </is>
      </c>
      <c r="B2" s="2" t="n">
        <v>420</v>
      </c>
      <c r="C2" s="2" t="n">
        <v>388</v>
      </c>
    </row>
    <row r="3">
      <c r="A3" s="2" t="inlineStr">
        <is>
          <t>Feb</t>
        </is>
      </c>
      <c r="B3" s="2" t="n">
        <v>375</v>
      </c>
      <c r="C3" s="2" t="n">
        <v>401</v>
      </c>
    </row>
    <row r="4">
      <c r="A4" s="2" t="inlineStr">
        <is>
          <t>Mar</t>
        </is>
      </c>
      <c r="B4" s="2" t="n">
        <v>510</v>
      </c>
      <c r="C4" s="2" t="n">
        <v>462</v>
      </c>
    </row>
    <row r="5">
      <c r="A5" s="2" t="inlineStr">
        <is>
          <t>Apr</t>
        </is>
      </c>
      <c r="B5" s="2" t="n">
        <v>466</v>
      </c>
      <c r="C5" s="2" t="n">
        <v>470</v>
      </c>
    </row>
    <row r="6">
      <c r="A6" s="2" t="inlineStr">
        <is>
          <t>May</t>
        </is>
      </c>
      <c r="B6" s="2" t="n">
        <v>392</v>
      </c>
      <c r="C6" s="2" t="n">
        <v>355</v>
      </c>
    </row>
    <row r="7">
      <c r="A7" s="2" t="inlineStr">
        <is>
          <t>Jun</t>
        </is>
      </c>
      <c r="B7" s="2" t="n">
        <v>448</v>
      </c>
      <c r="C7" s="2" t="n">
        <v>496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2" customHeight="1">
      <c r="A1" s="1" t="inlineStr">
        <is>
          <t>Category</t>
        </is>
      </c>
      <c r="B1" s="1" t="inlineStr">
        <is>
          <t>Value of stock</t>
        </is>
      </c>
    </row>
    <row r="2">
      <c r="A2" s="2" t="inlineStr">
        <is>
          <t>Kitchen</t>
        </is>
      </c>
      <c r="B2" s="3">
        <f>SUMPRODUCT((Inventory!C2:C13=A2)*Inventory!D2:D13*Inventory!F2:F13)</f>
        <v/>
      </c>
    </row>
    <row r="3">
      <c r="A3" s="2" t="inlineStr">
        <is>
          <t>Garden</t>
        </is>
      </c>
      <c r="B3" s="3">
        <f>SUMPRODUCT((Inventory!C2:C13=A3)*Inventory!D2:D13*Inventory!F2:F13)</f>
        <v/>
      </c>
    </row>
    <row r="4">
      <c r="A4" s="2" t="inlineStr">
        <is>
          <t>Workshop</t>
        </is>
      </c>
      <c r="B4" s="3">
        <f>SUMPRODUCT((Inventory!C2:C13=A4)*Inventory!D2:D13*Inventory!F2:F13)</f>
        <v/>
      </c>
    </row>
    <row r="5">
      <c r="A5" s="2" t="inlineStr">
        <is>
          <t>Outdoor</t>
        </is>
      </c>
      <c r="B5" s="3">
        <f>SUMPRODUCT((Inventory!C2:C13=A5)*Inventory!D2:D13*Inventory!F2:F13)</f>
        <v/>
      </c>
    </row>
    <row r="8">
      <c r="A8" t="inlineStr">
        <is>
          <t>Invented stock levels for an invented shop.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sample-assets</dc:creator>
  <dc:title xmlns:dc="http://purl.org/dc/elements/1.1/">Inventory with charts</dc:title>
  <dc:description xmlns:dc="http://purl.org/dc/elements/1.1/">Fictional sample workbook from the sample-assets repository.</dc:description>
  <dc:subject xmlns:dc="http://purl.org/dc/elements/1.1/">Sample workbook with bar, line, and pie charts</dc:subject>
  <dcterms:created xmlns:dcterms="http://purl.org/dc/terms/" xmlns:xsi="http://www.w3.org/2001/XMLSchema-instance" xsi:type="dcterms:W3CDTF">2026-08-30T07:56:59Z</dcterms:created>
  <dcterms:modified xmlns:dcterms="http://purl.org/dc/terms/" xmlns:xsi="http://www.w3.org/2001/XMLSchema-instance" xsi:type="dcterms:W3CDTF">2026-08-30T07:56:59Z</dcterms:modified>
</cp:coreProperties>
</file>