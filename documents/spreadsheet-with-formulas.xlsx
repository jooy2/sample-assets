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Formu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</fonts>
  <fills count="3">
    <fill>
      <patternFill/>
    </fill>
    <fill>
      <patternFill patternType="gray125"/>
    </fill>
    <fill>
      <patternFill patternType="solid">
        <fgColor rgb="002F6F4F"/>
      </patternFill>
    </fill>
  </fills>
  <borders count="2">
    <border>
      <left/>
      <right/>
      <top/>
      <bottom/>
      <diagonal/>
    </border>
    <border>
      <left style="thin">
        <color rgb="00D9DDE3"/>
      </left>
      <right style="thin">
        <color rgb="00D9DDE3"/>
      </right>
      <top style="thin">
        <color rgb="00D9DDE3"/>
      </top>
      <bottom style="thin">
        <color rgb="00D9DDE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Orders" displayName="Orders" ref="A1:G11" headerRowCount="1">
  <autoFilter ref="A1:G11"/>
  <tableColumns count="7">
    <tableColumn id="1" name="Order"/>
    <tableColumn id="2" name="Date"/>
    <tableColumn id="3" name="Customer"/>
    <tableColumn id="4" name="Region"/>
    <tableColumn id="5" name="Units"/>
    <tableColumn id="6" name="Unit price"/>
    <tableColumn id="7" name="Amount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2" customWidth="1" min="4" max="4"/>
    <col width="8" customWidth="1" min="5" max="5"/>
    <col width="12" customWidth="1" min="6" max="6"/>
    <col width="14" customWidth="1" min="7" max="7"/>
  </cols>
  <sheetData>
    <row r="1" ht="22" customHeight="1">
      <c r="A1" s="1" t="inlineStr">
        <is>
          <t>Order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Units</t>
        </is>
      </c>
      <c r="F1" s="1" t="inlineStr">
        <is>
          <t>Unit price</t>
        </is>
      </c>
      <c r="G1" s="1" t="inlineStr">
        <is>
          <t>Amount</t>
        </is>
      </c>
    </row>
    <row r="2">
      <c r="A2" s="2" t="n">
        <v>10241</v>
      </c>
      <c r="B2" s="3" t="n">
        <v>46083</v>
      </c>
      <c r="C2" s="2" t="inlineStr">
        <is>
          <t>Copperline Foods</t>
        </is>
      </c>
      <c r="D2" s="2" t="inlineStr">
        <is>
          <t>North</t>
        </is>
      </c>
      <c r="E2" s="2" t="n">
        <v>12</v>
      </c>
      <c r="F2" s="4" t="n">
        <v>103.33</v>
      </c>
      <c r="G2" s="4">
        <f>E2*F2</f>
        <v/>
      </c>
    </row>
    <row r="3">
      <c r="A3" s="2" t="n">
        <v>10242</v>
      </c>
      <c r="B3" s="3" t="n">
        <v>46085</v>
      </c>
      <c r="C3" s="2" t="inlineStr">
        <is>
          <t>Orrery Analytics</t>
        </is>
      </c>
      <c r="D3" s="2" t="inlineStr">
        <is>
          <t>South</t>
        </is>
      </c>
      <c r="E3" s="2" t="n">
        <v>3</v>
      </c>
      <c r="F3" s="4" t="n">
        <v>106.17</v>
      </c>
      <c r="G3" s="4">
        <f>E3*F3</f>
        <v/>
      </c>
    </row>
    <row r="4">
      <c r="A4" s="2" t="n">
        <v>10243</v>
      </c>
      <c r="B4" s="3" t="n">
        <v>46085</v>
      </c>
      <c r="C4" s="2" t="inlineStr">
        <is>
          <t>Kestrel &amp; Pike</t>
        </is>
      </c>
      <c r="D4" s="2" t="inlineStr">
        <is>
          <t>East</t>
        </is>
      </c>
      <c r="E4" s="2" t="n">
        <v>0</v>
      </c>
      <c r="F4" s="4" t="n">
        <v>0</v>
      </c>
      <c r="G4" s="4">
        <f>E4*F4</f>
        <v/>
      </c>
    </row>
    <row r="5">
      <c r="A5" s="2" t="n">
        <v>10244</v>
      </c>
      <c r="B5" s="3" t="n">
        <v>46090</v>
      </c>
      <c r="C5" s="2" t="inlineStr">
        <is>
          <t>Vantabrook Ltd.</t>
        </is>
      </c>
      <c r="D5" s="2" t="inlineStr">
        <is>
          <t>West</t>
        </is>
      </c>
      <c r="E5" s="2" t="n">
        <v>45</v>
      </c>
      <c r="F5" s="4" t="n">
        <v>175.68</v>
      </c>
      <c r="G5" s="4">
        <f>E5*F5</f>
        <v/>
      </c>
    </row>
    <row r="6">
      <c r="A6" s="2" t="n">
        <v>10245</v>
      </c>
      <c r="B6" s="3" t="n">
        <v>46092</v>
      </c>
      <c r="C6" s="2" t="inlineStr">
        <is>
          <t>Copperline Foods</t>
        </is>
      </c>
      <c r="D6" s="2" t="inlineStr">
        <is>
          <t>North</t>
        </is>
      </c>
      <c r="E6" s="2" t="n">
        <v>8</v>
      </c>
      <c r="F6" s="4" t="n">
        <v>92.5</v>
      </c>
      <c r="G6" s="4">
        <f>E6*F6</f>
        <v/>
      </c>
    </row>
    <row r="7">
      <c r="A7" s="2" t="n">
        <v>10246</v>
      </c>
      <c r="B7" s="3" t="n">
        <v>46096</v>
      </c>
      <c r="C7" s="2" t="inlineStr">
        <is>
          <t>Marrowfield Rail</t>
        </is>
      </c>
      <c r="D7" s="2" t="inlineStr">
        <is>
          <t>East</t>
        </is>
      </c>
      <c r="E7" s="2" t="n">
        <v>22</v>
      </c>
      <c r="F7" s="4" t="n">
        <v>64.09999999999999</v>
      </c>
      <c r="G7" s="4">
        <f>E7*F7</f>
        <v/>
      </c>
    </row>
    <row r="8">
      <c r="A8" s="2" t="n">
        <v>10247</v>
      </c>
      <c r="B8" s="3" t="n">
        <v>46099</v>
      </c>
      <c r="C8" s="2" t="inlineStr">
        <is>
          <t>Orrery Analytics</t>
        </is>
      </c>
      <c r="D8" s="2" t="inlineStr">
        <is>
          <t>South</t>
        </is>
      </c>
      <c r="E8" s="2" t="n">
        <v>17</v>
      </c>
      <c r="F8" s="4" t="n">
        <v>121</v>
      </c>
      <c r="G8" s="4">
        <f>E8*F8</f>
        <v/>
      </c>
    </row>
    <row r="9">
      <c r="A9" s="2" t="n">
        <v>10248</v>
      </c>
      <c r="B9" s="3" t="n">
        <v>46102</v>
      </c>
      <c r="C9" s="2" t="inlineStr">
        <is>
          <t>Quillon Press</t>
        </is>
      </c>
      <c r="D9" s="2" t="inlineStr">
        <is>
          <t>West</t>
        </is>
      </c>
      <c r="E9" s="2" t="n">
        <v>5</v>
      </c>
      <c r="F9" s="4" t="n">
        <v>240</v>
      </c>
      <c r="G9" s="4">
        <f>E9*F9</f>
        <v/>
      </c>
    </row>
    <row r="10">
      <c r="A10" s="2" t="n">
        <v>10249</v>
      </c>
      <c r="B10" s="3" t="n">
        <v>46106</v>
      </c>
      <c r="C10" s="2" t="inlineStr">
        <is>
          <t>Marrowfield Rail</t>
        </is>
      </c>
      <c r="D10" s="2" t="inlineStr">
        <is>
          <t>East</t>
        </is>
      </c>
      <c r="E10" s="2" t="n">
        <v>31</v>
      </c>
      <c r="F10" s="4" t="n">
        <v>58.75</v>
      </c>
      <c r="G10" s="4">
        <f>E10*F10</f>
        <v/>
      </c>
    </row>
    <row r="11">
      <c r="A11" s="2" t="n">
        <v>10250</v>
      </c>
      <c r="B11" s="3" t="n">
        <v>46110</v>
      </c>
      <c r="C11" s="2" t="inlineStr">
        <is>
          <t>Copperline Foods</t>
        </is>
      </c>
      <c r="D11" s="2" t="inlineStr">
        <is>
          <t>North</t>
        </is>
      </c>
      <c r="E11" s="2" t="n">
        <v>9</v>
      </c>
      <c r="F11" s="4" t="n">
        <v>110.2</v>
      </c>
      <c r="G11" s="4">
        <f>E11*F11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52" customWidth="1" min="3" max="3"/>
  </cols>
  <sheetData>
    <row r="1" ht="22" customHeight="1">
      <c r="A1" s="1" t="inlineStr">
        <is>
          <t>What it computes</t>
        </is>
      </c>
      <c r="B1" s="1" t="inlineStr">
        <is>
          <t>Result</t>
        </is>
      </c>
      <c r="C1" s="1" t="inlineStr">
        <is>
          <t>Formula, as written</t>
        </is>
      </c>
    </row>
    <row r="2">
      <c r="A2" s="2" t="inlineStr">
        <is>
          <t>Row count</t>
        </is>
      </c>
      <c r="B2" s="2">
        <f>COUNTA(Data!A2:A11)</f>
        <v/>
      </c>
      <c r="C2" s="5" t="inlineStr">
        <is>
          <t>'=COUNTA(Data!A2:A11)</t>
        </is>
      </c>
    </row>
    <row r="3">
      <c r="A3" s="2" t="inlineStr">
        <is>
          <t>Total units</t>
        </is>
      </c>
      <c r="B3" s="2">
        <f>SUM(Data!E2:E11)</f>
        <v/>
      </c>
      <c r="C3" s="5" t="inlineStr">
        <is>
          <t>'=SUM(Data!E2:E11)</t>
        </is>
      </c>
    </row>
    <row r="4">
      <c r="A4" s="2" t="inlineStr">
        <is>
          <t>Total amount</t>
        </is>
      </c>
      <c r="B4" s="4">
        <f>SUM(Data!G2:G11)</f>
        <v/>
      </c>
      <c r="C4" s="5" t="inlineStr">
        <is>
          <t>'=SUM(Data!G2:G11)</t>
        </is>
      </c>
    </row>
    <row r="5">
      <c r="A5" s="2" t="inlineStr">
        <is>
          <t>Average order</t>
        </is>
      </c>
      <c r="B5" s="4">
        <f>AVERAGE(Data!G2:G11)</f>
        <v/>
      </c>
      <c r="C5" s="5" t="inlineStr">
        <is>
          <t>'=AVERAGE(Data!G2:G11)</t>
        </is>
      </c>
    </row>
    <row r="6">
      <c r="A6" s="2" t="inlineStr">
        <is>
          <t>Median order</t>
        </is>
      </c>
      <c r="B6" s="4">
        <f>MEDIAN(Data!G2:G11)</f>
        <v/>
      </c>
      <c r="C6" s="5" t="inlineStr">
        <is>
          <t>'=MEDIAN(Data!G2:G11)</t>
        </is>
      </c>
    </row>
    <row r="7">
      <c r="A7" s="2" t="inlineStr">
        <is>
          <t>Largest order</t>
        </is>
      </c>
      <c r="B7" s="4">
        <f>MAX(Data!G2:G11)</f>
        <v/>
      </c>
      <c r="C7" s="5" t="inlineStr">
        <is>
          <t>'=MAX(Data!G2:G11)</t>
        </is>
      </c>
    </row>
    <row r="8">
      <c r="A8" s="2" t="inlineStr">
        <is>
          <t>Smallest non-zero order</t>
        </is>
      </c>
      <c r="B8" s="4">
        <f>MIN(IF(Data!G2:G11&gt;0,Data!G2:G11))</f>
        <v/>
      </c>
      <c r="C8" s="5" t="inlineStr">
        <is>
          <t>'=MIN(IF(Data!G2:G11&gt;0,Data!G2:G11))</t>
        </is>
      </c>
    </row>
    <row r="9">
      <c r="A9" s="2" t="inlineStr">
        <is>
          <t>Standard deviation</t>
        </is>
      </c>
      <c r="B9" s="4">
        <f>STDEV(Data!G2:G11)</f>
        <v/>
      </c>
      <c r="C9" s="5" t="inlineStr">
        <is>
          <t>'=STDEV(Data!G2:G11)</t>
        </is>
      </c>
    </row>
    <row r="10">
      <c r="A10" s="2" t="inlineStr">
        <is>
          <t>Orders from the North</t>
        </is>
      </c>
      <c r="B10" s="2">
        <f>COUNTIF(Data!D2:D11,"North")</f>
        <v/>
      </c>
      <c r="C10" s="5" t="inlineStr">
        <is>
          <t>'=COUNTIF(Data!D2:D11,"North")</t>
        </is>
      </c>
    </row>
    <row r="11">
      <c r="A11" s="2" t="inlineStr">
        <is>
          <t>Amount from the North</t>
        </is>
      </c>
      <c r="B11" s="4">
        <f>SUMIF(Data!D2:D11,"North",Data!G2:G11)</f>
        <v/>
      </c>
      <c r="C11" s="5" t="inlineStr">
        <is>
          <t>'=SUMIF(Data!D2:D11,"North",Data!G2:G11)</t>
        </is>
      </c>
    </row>
    <row r="12">
      <c r="A12" s="2" t="inlineStr">
        <is>
          <t>Amount, North and over 10 units</t>
        </is>
      </c>
      <c r="B12" s="4">
        <f>SUMIFS(Data!G2:G11,Data!D2:D11,"North",Data!E2:E11,"&gt;10")</f>
        <v/>
      </c>
      <c r="C12" s="5" t="inlineStr">
        <is>
          <t>'=SUMIFS(Data!G2:G11,Data!D2:D11,"North",Data!E2:E11,"&gt;10")</t>
        </is>
      </c>
    </row>
    <row r="13">
      <c r="A13" s="2" t="inlineStr">
        <is>
          <t>Customer of order 10244</t>
        </is>
      </c>
      <c r="B13" s="4">
        <f>VLOOKUP(10244,Data!A2:G11,3,FALSE)</f>
        <v/>
      </c>
      <c r="C13" s="5" t="inlineStr">
        <is>
          <t>'=VLOOKUP(10244,Data!A2:G11,3,FALSE)</t>
        </is>
      </c>
    </row>
    <row r="14">
      <c r="A14" s="2" t="inlineStr">
        <is>
          <t>Region of order 10248</t>
        </is>
      </c>
      <c r="B14" s="4">
        <f>INDEX(Data!D2:D11,MATCH(10248,Data!A2:A11,0))</f>
        <v/>
      </c>
      <c r="C14" s="5" t="inlineStr">
        <is>
          <t>'=INDEX(Data!D2:D11,MATCH(10248,Data!A2:A11,0))</t>
        </is>
      </c>
    </row>
    <row r="15">
      <c r="A15" s="2" t="inlineStr">
        <is>
          <t>Best-selling order, by amount</t>
        </is>
      </c>
      <c r="B15" s="4">
        <f>INDEX(Data!A2:A11,MATCH(MAX(Data!G2:G11),Data!G2:G11,0))</f>
        <v/>
      </c>
      <c r="C15" s="5" t="inlineStr">
        <is>
          <t>'=INDEX(Data!A2:A11,MATCH(MAX(Data!G2:G11),Data!G2:G11,0))</t>
        </is>
      </c>
    </row>
    <row r="16">
      <c r="A16" s="2" t="inlineStr">
        <is>
          <t>Orders in the last ten days of March</t>
        </is>
      </c>
      <c r="B16" s="2">
        <f>COUNTIFS(Data!B2:B11,"&gt;="&amp;DATE(2026,3,22))</f>
        <v/>
      </c>
      <c r="C16" s="5" t="inlineStr">
        <is>
          <t>'=COUNTIFS(Data!B2:B11,"&gt;="&amp;DATE(2026,3,22))</t>
        </is>
      </c>
    </row>
    <row r="17">
      <c r="A17" s="2" t="inlineStr">
        <is>
          <t>Cancelled orders (zero units)</t>
        </is>
      </c>
      <c r="B17" s="4">
        <f>COUNTIF(Data!E2:E11,0)</f>
        <v/>
      </c>
      <c r="C17" s="5" t="inlineStr">
        <is>
          <t>'=COUNTIF(Data!E2:E11,0)</t>
        </is>
      </c>
    </row>
    <row r="18">
      <c r="A18" s="2" t="inlineStr">
        <is>
          <t>Share of amount from the East</t>
        </is>
      </c>
      <c r="B18" s="6">
        <f>SUMIF(Data!D2:D11,"East",Data!G2:G11)/SUM(Data!G2:G11)</f>
        <v/>
      </c>
      <c r="C18" s="5" t="inlineStr">
        <is>
          <t>'=SUMIF(Data!D2:D11,"East",Data!G2:G11)/SUM(Data!G2:G11)</t>
        </is>
      </c>
    </row>
    <row r="19">
      <c r="A19" s="2" t="inlineStr">
        <is>
          <t>Customer list, joined</t>
        </is>
      </c>
      <c r="B19" s="2">
        <f>TEXTJOIN(", ",TRUE,Data!C2:C4)</f>
        <v/>
      </c>
      <c r="C19" s="5" t="inlineStr">
        <is>
          <t>'=TEXTJOIN(", ",TRUE,Data!C2:C4)</t>
        </is>
      </c>
    </row>
    <row r="20">
      <c r="A20" s="2" t="inlineStr">
        <is>
          <t>Rounded average</t>
        </is>
      </c>
      <c r="B20" s="2">
        <f>ROUND(AVERAGE(Data!G2:G11),0)</f>
        <v/>
      </c>
      <c r="C20" s="5" t="inlineStr">
        <is>
          <t>'=ROUND(AVERAGE(Data!G2:G11),0)</t>
        </is>
      </c>
    </row>
    <row r="21">
      <c r="A21" s="2" t="inlineStr">
        <is>
          <t>A deliberate error, for handling</t>
        </is>
      </c>
      <c r="B21" s="2">
        <f>1/0</f>
        <v/>
      </c>
      <c r="C21" s="5" t="inlineStr">
        <is>
          <t>'=1/0</t>
        </is>
      </c>
    </row>
    <row r="22">
      <c r="A22" s="2" t="inlineStr">
        <is>
          <t>The same, guarded</t>
        </is>
      </c>
      <c r="B22" s="2">
        <f>IFERROR(1/0,"guarded")</f>
        <v/>
      </c>
      <c r="C22" s="5" t="inlineStr">
        <is>
          <t>'=IFERROR(1/0,"guarded")</t>
        </is>
      </c>
    </row>
    <row r="24">
      <c r="A24" t="inlineStr">
        <is>
          <t>Values are computed when a spreadsheet application opens the file; a reader that only parses the XML sees the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sample-assets</dc:creator>
  <dc:title xmlns:dc="http://purl.org/dc/elements/1.1/">Formula showcase</dc:title>
  <dc:description xmlns:dc="http://purl.org/dc/elements/1.1/">Fictional sample workbook from the sample-assets repository.</dc:description>
  <dc:subject xmlns:dc="http://purl.org/dc/elements/1.1/">Sample workbook exercising common spreadsheet formulas</dc:subject>
  <dcterms:created xmlns:dcterms="http://purl.org/dc/terms/" xmlns:xsi="http://www.w3.org/2001/XMLSchema-instance" xsi:type="dcterms:W3CDTF">2026-08-30T07:56:59Z</dcterms:created>
  <dcterms:modified xmlns:dcterms="http://purl.org/dc/terms/" xmlns:xsi="http://www.w3.org/2001/XMLSchema-instance" xsi:type="dcterms:W3CDTF">2026-08-30T07:56:59Z</dcterms:modified>
</cp:coreProperties>
</file>